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definedNames>
    <definedName name="solver_opt" localSheetId="0" hidden="1">Sheet1!$D$2</definedName>
    <definedName name="solver_typ" localSheetId="0" hidden="1">1</definedName>
    <definedName name="solver_val" localSheetId="0" hidden="1">0</definedName>
    <definedName name="solver_adj" localSheetId="0" hidden="1">Sheet1!$B$2</definedName>
    <definedName name="solver_lhs1" localSheetId="0" hidden="1">Sheet1!$B$2</definedName>
    <definedName name="solver_rel1" localSheetId="0" hidden="1">1</definedName>
    <definedName name="solver_rhs1" localSheetId="0" hidden="1">10</definedName>
    <definedName name="solver_num" localSheetId="0" hidden="1">1</definedName>
    <definedName name="solver_neg" localSheetId="0" hidden="1">1</definedName>
    <definedName name="solver_eng" localSheetId="0" hidden="1">2</definedName>
    <definedName name="solver_ver" localSheetId="0" hidden="1">3</definedName>
    <definedName name="Revenue">Sheet1!$B$2</definedName>
    <definedName name="_sc_scripts" hidden="1">"{""审核脚本"":[{""params"":{""input"":""审核后运行的脚本"",""cell"":""G2""},""command"":""cell.set""}],""录制操作"":[{""command"":""selection.set"",""params"":{""range"":""B20"",""active"":""B20""}},{""command"":""cell.set"",""params"":{""cell"":""B20"",""input"":""录制内容""}},{""command"":""selection.move"",""params"":{""dr"":1,""dc"":0,""extend"":false,""jump"":false}}]}"</definedName>
  </definedNames>
  <calcPr calcId="191029"/>
  <pivotCaches>
    <pivotCache cacheId="1" r:id="rId2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tc={00000000-0000-4000-8001-000000000001}</author>
    <author>Joysheet</author>
  </authors>
  <commentList>
    <comment ref="A2" authorId="0" shapeId="0" xr:uid="{00000000-0000-4000-8001-000000000001}">
      <text>
        <r>
          <t xml:space="preserve">M7 审阅批注
Joysheet: 已核对数据</t>
        </r>
      </text>
    </comment>
    <comment ref="C2" authorId="1">
      <text>
        <r>
          <t>数量单位：件</t>
        </r>
      </text>
    </comment>
  </commentList>
</comments>
</file>

<file path=xl/sharedStrings.xml><?xml version="1.0" encoding="utf-8"?>
<sst xmlns="http://schemas.openxmlformats.org/spreadsheetml/2006/main" count="30" uniqueCount="27">
  <si>
    <t>地区</t>
  </si>
  <si>
    <t>金额</t>
  </si>
  <si>
    <t>数量</t>
  </si>
  <si>
    <t>利润</t>
  </si>
  <si>
    <t>东区</t>
  </si>
  <si>
    <t>审核后运行的脚本</t>
  </si>
  <si>
    <t>Column1</t>
  </si>
  <si>
    <t>西区</t>
  </si>
  <si>
    <t>Row Labels</t>
  </si>
  <si>
    <t>Sum of 金额</t>
  </si>
  <si>
    <t>Sum of 数量</t>
  </si>
  <si>
    <t>Mean</t>
  </si>
  <si>
    <t>Standard Error</t>
  </si>
  <si>
    <t>Grand Total</t>
  </si>
  <si>
    <t>Median</t>
  </si>
  <si>
    <t>Mode</t>
  </si>
  <si>
    <t>由 MCP 保存的后台窗口草稿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</si>
  <si>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</si>
  <si>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</si>
  <si>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</si>
  <si>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</si>
  <si>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</si>
  <si>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</si>
  <si>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</si>
  <si>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</si>
  <si>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</si>
  <si>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录制内容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</si>
</sst>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theme="4" tint="0.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4"/>
      </bottom>
      <diagonal/>
    </border>
    <border>
      <left/>
      <right/>
      <top style="thin">
        <color theme="4" tint="0.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pivotCacheDefinition" Target="pivotCache/pivotCacheDefinition1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sheet" id="{00000000-0000-4000-8002-000000000000}" userId="Joysheet" providerId="None"/>
</personList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refreshOnLoad="1" refreshedBy="GridCraft" createdVersion="6" refreshedVersion="6" minRefreshableVersion="3">
  <cacheSource type="worksheet">
    <worksheetSource ref="A1:C4" sheet="Sheet1"/>
  </cacheSource>
  <cacheFields count="3">
    <cacheField name="地区" numFmtId="0">
      <sharedItems count="2">
        <s v="东区"/>
        <s v="西区"/>
      </sharedItems>
    </cacheField>
    <cacheField name="金额" numFmtId="0">
      <sharedItems containsSemiMixedTypes="0" containsString="0" containsNumber="1" containsInteger="1" minValue="10" maxValue="30"/>
    </cacheField>
    <cacheField name="数量" numFmtId="0">
      <sharedItems containsSemiMixedTypes="0" containsString="0" containsNumber="1" containsInteger="1" minValue="2" maxValue="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0"/>
    <n v="2"/>
  </r>
  <r>
    <x v="1"/>
    <n v="20"/>
    <n v="3"/>
  </r>
  <r>
    <x v="0"/>
    <n v="30"/>
    <n v="4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7透视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H6" firstHeaderRow="0" firstDataRow="1" firstDataCol="1"/>
  <pivotFields count="3">
    <pivotField axis="axisRow" showAll="0" sortType="ascending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colFields count="1">
    <field x="-2"/>
  </colFields>
  <dataFields count="2">
    <dataField name="Sum of 金额" fld="1" baseField="0" baseItem="0"/>
    <dataField name="Sum of 数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hideValuesRow="1"/>
    </ext>
  </extLst>
</pivotTableDefinition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00000000-0000-4000-8002-000000000000}" id="{00000000-0000-4000-8001-000000000001}" done="1">
    <text>M7 审阅批注</text>
  </threadedComment>
  <threadedComment ref="A2" personId="{00000000-0000-4000-8002-000000000000}" id="{00000000-0000-4000-8001-000000000002}" parentId="{00000000-0000-4000-8001-000000000001}">
    <text>已核对数据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A1" sqref="A1"/>
    </sheetView>
  </sheetViews>
  <sheetFormatPr defaultRowHeight="15"/>
  <cols>
    <col min="6" max="6" width="14.140625" customWidth="1"/>
    <col min="7" max="8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</v>
      </c>
      <c r="C2">
        <v>2</v>
      </c>
      <c r="D2">
        <f>B2*C2</f>
        <v>20</v>
      </c>
      <c r="G2" t="s">
        <v>5</v>
      </c>
      <c r="J2" t="s">
        <v>6</v>
      </c>
    </row>
    <row r="3">
      <c r="A3" t="s">
        <v>7</v>
      </c>
      <c r="B3">
        <v>20</v>
      </c>
      <c r="C3">
        <v>3</v>
      </c>
      <c r="D3">
        <f>B3*C3</f>
        <v>60</v>
      </c>
      <c r="F3" s="1" t="s">
        <v>8</v>
      </c>
      <c r="G3" s="1" t="s">
        <v>9</v>
      </c>
      <c r="H3" s="1" t="s">
        <v>10</v>
      </c>
    </row>
    <row r="4">
      <c r="A4" t="s">
        <v>4</v>
      </c>
      <c r="B4">
        <v>30</v>
      </c>
      <c r="C4">
        <v>4</v>
      </c>
      <c r="D4">
        <f>B4*C4</f>
        <v>120</v>
      </c>
      <c r="F4" s="2" t="s">
        <v>4</v>
      </c>
      <c r="G4">
        <v>40</v>
      </c>
      <c r="H4">
        <v>6</v>
      </c>
      <c r="J4" t="s">
        <v>11</v>
      </c>
      <c r="K4">
        <v>20</v>
      </c>
    </row>
    <row r="5">
      <c r="F5" s="2" t="s">
        <v>7</v>
      </c>
      <c r="G5">
        <v>20</v>
      </c>
      <c r="H5">
        <v>3</v>
      </c>
      <c r="J5" t="s">
        <v>12</v>
      </c>
      <c r="K5">
        <v>5.773502691896258</v>
      </c>
    </row>
    <row r="6">
      <c r="D6">
        <f>Revenue*2</f>
        <v>20</v>
      </c>
      <c r="F6" s="3" t="s">
        <v>13</v>
      </c>
      <c r="G6" s="4">
        <v>60</v>
      </c>
      <c r="H6" s="4">
        <v>9</v>
      </c>
      <c r="J6" t="s">
        <v>14</v>
      </c>
      <c r="K6">
        <v>20</v>
      </c>
    </row>
    <row r="7">
      <c r="J7" t="s">
        <v>15</v>
      </c>
      <c r="K7" t="e">
        <v>#N/A</v>
      </c>
    </row>
    <row r="8">
      <c r="G8" t="s">
        <v>16</v>
      </c>
      <c r="J8" t="s">
        <v>17</v>
      </c>
      <c r="K8">
        <v>10</v>
      </c>
    </row>
    <row r="9">
      <c r="J9" t="s">
        <v>18</v>
      </c>
      <c r="K9">
        <v>100</v>
      </c>
    </row>
    <row r="10">
      <c r="J10" t="s">
        <v>19</v>
      </c>
      <c r="K10" t="e">
        <v>#DIV/0!</v>
      </c>
    </row>
    <row r="11">
      <c r="J11" t="s">
        <v>20</v>
      </c>
      <c r="K11">
        <v>0</v>
      </c>
    </row>
    <row r="12">
      <c r="J12" t="s">
        <v>21</v>
      </c>
      <c r="K12">
        <v>20</v>
      </c>
    </row>
    <row r="13">
      <c r="J13" t="s">
        <v>22</v>
      </c>
      <c r="K13">
        <v>10</v>
      </c>
    </row>
    <row r="14">
      <c r="J14" t="s">
        <v>23</v>
      </c>
      <c r="K14">
        <v>30</v>
      </c>
    </row>
    <row r="15">
      <c r="J15" t="s">
        <v>24</v>
      </c>
      <c r="K15">
        <v>60</v>
      </c>
    </row>
    <row r="16">
      <c r="J16" t="s">
        <v>25</v>
      </c>
      <c r="K16">
        <v>3</v>
      </c>
    </row>
    <row r="20">
      <c r="B20" t="s">
        <v>26</v>
      </c>
    </row>
  </sheetData>
  <pageMargins left="0.699999988079071" right="0.699999988079071" top="0.75" bottom="0.75" header="0.30000001192092896" footer="0.30000001192092896"/>
  <pageSetup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